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CTL\EXCEL\"/>
    </mc:Choice>
  </mc:AlternateContent>
  <xr:revisionPtr revIDLastSave="0" documentId="13_ncr:1_{10570330-5874-4549-B612-3FC8A2C403C0}" xr6:coauthVersionLast="47" xr6:coauthVersionMax="47" xr10:uidLastSave="{00000000-0000-0000-0000-000000000000}"/>
  <bookViews>
    <workbookView xWindow="-110" yWindow="-110" windowWidth="19420" windowHeight="10300" activeTab="2" xr2:uid="{58BB573D-30BA-4E49-87A3-6FDAAEE6524D}"/>
  </bookViews>
  <sheets>
    <sheet name="Resort_Rates" sheetId="1" r:id="rId1"/>
    <sheet name="Booking_Data" sheetId="2" r:id="rId2"/>
    <sheet name="Analytic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M2" i="2"/>
  <c r="B4" i="3"/>
  <c r="B3" i="3"/>
  <c r="B6" i="3"/>
  <c r="B5" i="3"/>
  <c r="N3" i="2"/>
  <c r="N4" i="2"/>
  <c r="N5" i="2"/>
  <c r="N6" i="2"/>
  <c r="N7" i="2"/>
  <c r="N8" i="2"/>
  <c r="N9" i="2"/>
  <c r="N10" i="2"/>
  <c r="N11" i="2"/>
  <c r="N2" i="2"/>
  <c r="H2" i="2"/>
  <c r="H3" i="2"/>
  <c r="M3" i="2" s="1"/>
  <c r="H4" i="2"/>
  <c r="M4" i="2" s="1"/>
  <c r="H5" i="2"/>
  <c r="M5" i="2" s="1"/>
  <c r="H6" i="2"/>
  <c r="M6" i="2" s="1"/>
  <c r="H7" i="2"/>
  <c r="M7" i="2" s="1"/>
  <c r="H8" i="2"/>
  <c r="M8" i="2" s="1"/>
  <c r="H9" i="2"/>
  <c r="M9" i="2" s="1"/>
  <c r="H10" i="2"/>
  <c r="M10" i="2" s="1"/>
  <c r="H11" i="2"/>
  <c r="M11" i="2" s="1"/>
  <c r="F3" i="2"/>
  <c r="F4" i="2"/>
  <c r="F5" i="2"/>
  <c r="F6" i="2"/>
  <c r="F7" i="2"/>
  <c r="F8" i="2"/>
  <c r="F9" i="2"/>
  <c r="F10" i="2"/>
  <c r="F11" i="2"/>
  <c r="F2" i="2"/>
  <c r="O10" i="2" l="1"/>
  <c r="P10" i="2" s="1"/>
  <c r="O8" i="2"/>
  <c r="P8" i="2" s="1"/>
  <c r="O9" i="2"/>
  <c r="P9" i="2" s="1"/>
  <c r="O6" i="2"/>
  <c r="P6" i="2" s="1"/>
  <c r="E5" i="3"/>
  <c r="O7" i="2"/>
  <c r="P7" i="2" s="1"/>
  <c r="O5" i="2"/>
  <c r="P5" i="2" s="1"/>
  <c r="O11" i="2"/>
  <c r="P11" i="2" s="1"/>
  <c r="O2" i="2"/>
  <c r="P2" i="2" s="1"/>
  <c r="E3" i="3"/>
  <c r="O4" i="2"/>
  <c r="P4" i="2" s="1"/>
  <c r="E2" i="3"/>
  <c r="O3" i="2"/>
  <c r="P3" i="2" s="1"/>
  <c r="B7" i="3"/>
  <c r="E4" i="3" l="1"/>
  <c r="E6" i="3" s="1"/>
  <c r="E7" i="3" s="1"/>
</calcChain>
</file>

<file path=xl/sharedStrings.xml><?xml version="1.0" encoding="utf-8"?>
<sst xmlns="http://schemas.openxmlformats.org/spreadsheetml/2006/main" count="160" uniqueCount="121">
  <si>
    <t>Room_ID</t>
  </si>
  <si>
    <t>Room_Type</t>
  </si>
  <si>
    <t>Capacity</t>
  </si>
  <si>
    <t>R_101</t>
  </si>
  <si>
    <t>R_102</t>
  </si>
  <si>
    <t>R_103</t>
  </si>
  <si>
    <t>R_104</t>
  </si>
  <si>
    <t>R_105</t>
  </si>
  <si>
    <t>R_106</t>
  </si>
  <si>
    <t>R_107</t>
  </si>
  <si>
    <t>R_108</t>
  </si>
  <si>
    <t>R_109</t>
  </si>
  <si>
    <t>R_110</t>
  </si>
  <si>
    <t>Standard</t>
  </si>
  <si>
    <t>Deluxe</t>
  </si>
  <si>
    <t>Executive</t>
  </si>
  <si>
    <t>Garden Studio</t>
  </si>
  <si>
    <t>Solo Cabana</t>
  </si>
  <si>
    <t>Double Studio</t>
  </si>
  <si>
    <t>Poolside Retreat</t>
  </si>
  <si>
    <t>Ocean View</t>
  </si>
  <si>
    <t>Family Triple</t>
  </si>
  <si>
    <t>Junior Suite</t>
  </si>
  <si>
    <t>R_111</t>
  </si>
  <si>
    <t>Grand Villa</t>
  </si>
  <si>
    <t>John Miller</t>
  </si>
  <si>
    <t>Sarah Reed</t>
  </si>
  <si>
    <t>Keisha Cole</t>
  </si>
  <si>
    <t>David Beck</t>
  </si>
  <si>
    <t>Robert Fox</t>
  </si>
  <si>
    <t>Emma Stone</t>
  </si>
  <si>
    <t>Tom Hanks</t>
  </si>
  <si>
    <t>Linda Yang</t>
  </si>
  <si>
    <t>Chris Pratt</t>
  </si>
  <si>
    <t>Bella Hadid</t>
  </si>
  <si>
    <t>Guest Name</t>
  </si>
  <si>
    <t>Season</t>
  </si>
  <si>
    <t>Summer</t>
  </si>
  <si>
    <t>Winter</t>
  </si>
  <si>
    <t>Twin Balcony</t>
  </si>
  <si>
    <t>Garden View</t>
  </si>
  <si>
    <t>Adults</t>
  </si>
  <si>
    <t>Children</t>
  </si>
  <si>
    <t>Total_Guests</t>
  </si>
  <si>
    <t>Nights</t>
  </si>
  <si>
    <t>Price_Per_Night</t>
  </si>
  <si>
    <t>Presidential</t>
  </si>
  <si>
    <t>Average_Nights_Per_Stayed</t>
  </si>
  <si>
    <t>Total_Guests_Hosted</t>
  </si>
  <si>
    <t>Highest_Booking_Room</t>
  </si>
  <si>
    <t>Room_Service</t>
  </si>
  <si>
    <t>Laundry_Service</t>
  </si>
  <si>
    <t>Spa_Service</t>
  </si>
  <si>
    <t>Rooms Rates</t>
  </si>
  <si>
    <t>Cateogry</t>
  </si>
  <si>
    <t>Winter_Rates
(Off_Peak)</t>
  </si>
  <si>
    <t>Summe_Rates
(Peak)</t>
  </si>
  <si>
    <t>Services Rates</t>
  </si>
  <si>
    <t>Charged once per stay</t>
  </si>
  <si>
    <t>Per session</t>
  </si>
  <si>
    <t>Late Checkout</t>
  </si>
  <si>
    <t>Per stay</t>
  </si>
  <si>
    <t>R_112</t>
  </si>
  <si>
    <t>R_113</t>
  </si>
  <si>
    <t>R_114</t>
  </si>
  <si>
    <t>R_115</t>
  </si>
  <si>
    <t>R_116</t>
  </si>
  <si>
    <t>R_117</t>
  </si>
  <si>
    <t>R_118</t>
  </si>
  <si>
    <t>R_119</t>
  </si>
  <si>
    <t>R_120</t>
  </si>
  <si>
    <t>Royal Penthouse</t>
  </si>
  <si>
    <t>Cozy Studio</t>
  </si>
  <si>
    <t>Garden Terrace</t>
  </si>
  <si>
    <t>Twin Vista</t>
  </si>
  <si>
    <t>Budget Balcony</t>
  </si>
  <si>
    <t>Sunset Suite</t>
  </si>
  <si>
    <t>Lagoon View</t>
  </si>
  <si>
    <t>Heritage Room</t>
  </si>
  <si>
    <t>Diamond Villa</t>
  </si>
  <si>
    <t>Total_Bookings</t>
  </si>
  <si>
    <t>Total_Adults_Hosted</t>
  </si>
  <si>
    <t>Total_Children_Hosted</t>
  </si>
  <si>
    <t>Operating_Cost</t>
  </si>
  <si>
    <t>Operating_Revenue</t>
  </si>
  <si>
    <t>Late_
Check-out</t>
  </si>
  <si>
    <t>Laundry_
Service</t>
  </si>
  <si>
    <t>Total_
Revenue</t>
  </si>
  <si>
    <t>Net_Profit</t>
  </si>
  <si>
    <t>Financial_Status</t>
  </si>
  <si>
    <t>Guests &amp; Stay Summary</t>
  </si>
  <si>
    <t>Financial Performane Summary</t>
  </si>
  <si>
    <t>Net_Operating_Revenue</t>
  </si>
  <si>
    <t>Net_Annual_Profit</t>
  </si>
  <si>
    <t>Bussiness_Health</t>
  </si>
  <si>
    <t>Net_Gross_Revenue</t>
  </si>
  <si>
    <t>Summer_Total_Revenue</t>
  </si>
  <si>
    <t>Winter_Total_Revenue</t>
  </si>
  <si>
    <t>Charts</t>
  </si>
  <si>
    <t>Packages</t>
  </si>
  <si>
    <t>Package_ID</t>
  </si>
  <si>
    <t>PKG_01</t>
  </si>
  <si>
    <t>PKG_02</t>
  </si>
  <si>
    <t>PKG_03</t>
  </si>
  <si>
    <t>PKG_04</t>
  </si>
  <si>
    <t>Package_Name</t>
  </si>
  <si>
    <t>Presidential Ocean pkg</t>
  </si>
  <si>
    <t>Family fum Bundle</t>
  </si>
  <si>
    <t>Executive Beach Pkg</t>
  </si>
  <si>
    <t>Romantic Deluxe Pkg</t>
  </si>
  <si>
    <t>Duration</t>
  </si>
  <si>
    <t>6 Nights</t>
  </si>
  <si>
    <t>4 Nights</t>
  </si>
  <si>
    <t>3 Nights</t>
  </si>
  <si>
    <t>2 Nights</t>
  </si>
  <si>
    <t>Flat_Rate</t>
  </si>
  <si>
    <t>Discount</t>
  </si>
  <si>
    <t>20% off</t>
  </si>
  <si>
    <t>10% off</t>
  </si>
  <si>
    <t>15% off</t>
  </si>
  <si>
    <t>25%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</si>
</sst>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0"/>
      <name val="Times New Roman"/>
      <family val="1"/>
    </font>
    <font>
      <sz val="11"/>
      <color theme="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E0B527"/>
        <bgColor indexed="64"/>
      </patternFill>
    </fill>
    <fill>
      <patternFill patternType="solid">
        <fgColor rgb="FF669BBC"/>
        <bgColor indexed="64"/>
      </patternFill>
    </fill>
    <fill>
      <patternFill patternType="solid">
        <fgColor rgb="FFFBFBFC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5E3F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6" fontId="5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6" fontId="6" fillId="0" borderId="1" xfId="0" applyNumberFormat="1" applyFont="1" applyFill="1" applyBorder="1" applyAlignment="1">
      <alignment horizontal="center" vertical="center" wrapText="1"/>
    </xf>
    <xf numFmtId="6" fontId="5" fillId="0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6" fontId="6" fillId="5" borderId="1" xfId="0" applyNumberFormat="1" applyFont="1" applyFill="1" applyBorder="1" applyAlignment="1">
      <alignment horizontal="center" vertical="center" wrapText="1"/>
    </xf>
    <xf numFmtId="6" fontId="5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9" borderId="1" xfId="0" applyFont="1" applyFill="1" applyBorder="1"/>
    <xf numFmtId="0" fontId="5" fillId="10" borderId="1" xfId="0" applyFont="1" applyFill="1" applyBorder="1"/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0" xfId="0" applyFont="1"/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6" fontId="7" fillId="3" borderId="1" xfId="0" applyNumberFormat="1" applyFont="1" applyFill="1" applyBorder="1" applyAlignment="1">
      <alignment horizontal="center" vertical="center"/>
    </xf>
    <xf numFmtId="6" fontId="8" fillId="3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fgColor auto="1"/>
          <bgColor rgb="FFFF5050"/>
        </patternFill>
      </fill>
    </dxf>
  </dxfs>
  <tableStyles count="0" defaultTableStyle="TableStyleMedium2" defaultPivotStyle="PivotStyleLight16"/>
  <colors>
    <mruColors>
      <color rgb="FFF0F8FF"/>
      <color rgb="FFD5E3F9"/>
      <color rgb="FF669BBC"/>
      <color rgb="FFE0B527"/>
      <color rgb="FFFF5050"/>
      <color rgb="FF555555"/>
      <color rgb="FF3096CE"/>
      <color rgb="FFFBFBFC"/>
      <color rgb="FF0B4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Seasonal</a:t>
            </a:r>
            <a:r>
              <a:rPr lang="en-CA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Revenue Analysis: Summer vs. Winter</a:t>
            </a:r>
            <a:endParaRPr lang="en-CA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981627296587"/>
          <c:y val="0.15782407407407409"/>
          <c:w val="0.82875240594925637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Analytic_Report!$D$2</c:f>
              <c:strCache>
                <c:ptCount val="1"/>
                <c:pt idx="0">
                  <c:v>Summer_Total_Revenue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Analytic_Report!$E$2</c:f>
              <c:numCache>
                <c:formatCode>General</c:formatCode>
                <c:ptCount val="1"/>
                <c:pt idx="0">
                  <c:v>71650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F-4FF4-BE4B-FFFF411FC598}"/>
            </c:ext>
          </c:extLst>
        </c:ser>
        <c:ser>
          <c:idx val="1"/>
          <c:order val="1"/>
          <c:tx>
            <c:strRef>
              <c:f>Analytic_Report!$D$3</c:f>
              <c:strCache>
                <c:ptCount val="1"/>
                <c:pt idx="0">
                  <c:v>Winter_Total_Revenue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CF-4FF4-BE4B-FFFF411FC5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Analytic_Report!$E$3</c:f>
              <c:numCache>
                <c:formatCode>General</c:formatCode>
                <c:ptCount val="1"/>
                <c:pt idx="0">
                  <c:v>35950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F-4FF4-BE4B-FFFF411FC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137992"/>
        <c:axId val="703138712"/>
      </c:barChart>
      <c:catAx>
        <c:axId val="703137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38712"/>
        <c:crosses val="autoZero"/>
        <c:auto val="1"/>
        <c:lblAlgn val="ctr"/>
        <c:lblOffset val="100"/>
        <c:noMultiLvlLbl val="0"/>
      </c:catAx>
      <c:valAx>
        <c:axId val="703138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13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822156605424321"/>
          <c:y val="0.91261519393409141"/>
          <c:w val="0.62425755143054329"/>
          <c:h val="7.7676032728360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Profit</a:t>
            </a:r>
            <a:r>
              <a:rPr lang="en-CA" b="1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vs. Operating Expense Breakdown</a:t>
            </a:r>
            <a:endParaRPr lang="en-CA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19234470691163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41-44FC-884C-E5D82C202A31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41-44FC-884C-E5D82C202A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Analytic_Report!$D$4:$D$5</c:f>
              <c:strCache>
                <c:ptCount val="2"/>
                <c:pt idx="0">
                  <c:v>Net_Gross_Revenue</c:v>
                </c:pt>
                <c:pt idx="1">
                  <c:v>Net_Operating_Revenue</c:v>
                </c:pt>
              </c:strCache>
            </c:strRef>
          </c:cat>
          <c:val>
            <c:numRef>
              <c:f>Analytic_Report!$E$4:$E$5</c:f>
              <c:numCache>
                <c:formatCode>General</c:formatCode>
                <c:ptCount val="2"/>
                <c:pt idx="0">
                  <c:v>107600</c:v>
                </c:pt>
                <c:pt idx="1">
                  <c:v>81240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1-44FC-884C-E5D82C202A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10</xdr:row>
      <xdr:rowOff>180975</xdr:rowOff>
    </xdr:from>
    <xdr:to>
      <xdr:col>2</xdr:col>
      <xdr:colOff>1339850</xdr:colOff>
      <xdr:row>25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64C615-BB42-DF5B-8AD1-C58965A5C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11</xdr:row>
      <xdr:rowOff>3175</xdr:rowOff>
    </xdr:from>
    <xdr:to>
      <xdr:col>5</xdr:col>
      <xdr:colOff>688975</xdr:colOff>
      <xdr:row>25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F86E6B-200A-C417-87DB-2D204C0EC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8820</xdr:colOff>
      <xdr:row>27</xdr:row>
      <xdr:rowOff>8820</xdr:rowOff>
    </xdr:from>
    <xdr:to>
      <xdr:col>4</xdr:col>
      <xdr:colOff>26458</xdr:colOff>
      <xdr:row>30</xdr:row>
      <xdr:rowOff>61736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E1FAE28-6D8E-A8FD-F81A-0E526B769DC9}"/>
            </a:ext>
          </a:extLst>
        </xdr:cNvPr>
        <xdr:cNvSpPr txBox="1"/>
      </xdr:nvSpPr>
      <xdr:spPr>
        <a:xfrm>
          <a:off x="1781528" y="5274028"/>
          <a:ext cx="5759097" cy="6085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000" b="1">
              <a:latin typeface="Times New Roman" panose="02020603050405020304" pitchFamily="18" charset="0"/>
              <a:cs typeface="Times New Roman" panose="02020603050405020304" pitchFamily="18" charset="0"/>
            </a:rPr>
            <a:t>Note: </a:t>
          </a:r>
          <a:r>
            <a:rPr lang="en-CA" sz="1000">
              <a:latin typeface="Times New Roman" panose="02020603050405020304" pitchFamily="18" charset="0"/>
              <a:cs typeface="Times New Roman" panose="02020603050405020304" pitchFamily="18" charset="0"/>
            </a:rPr>
            <a:t>Promotional Packages (Presidential, Family, Executive, and Romantic) are current marketing proposals designed to increase off-peak occupancy. They are not reflected in the current revenue data as they are slated for launch in the next fiscal quarter.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37E9-B4CC-47F1-A5A1-621049163EB3}">
  <dimension ref="A1:P23"/>
  <sheetViews>
    <sheetView zoomScale="53" zoomScaleNormal="66" workbookViewId="0">
      <selection activeCell="G27" sqref="G27"/>
    </sheetView>
  </sheetViews>
  <sheetFormatPr defaultRowHeight="14.5" x14ac:dyDescent="0.35"/>
  <cols>
    <col min="1" max="1" width="11.7265625" customWidth="1"/>
    <col min="2" max="2" width="11.26953125" customWidth="1"/>
    <col min="3" max="3" width="16.54296875" customWidth="1"/>
    <col min="5" max="5" width="14.26953125" customWidth="1"/>
    <col min="6" max="6" width="14.81640625" customWidth="1"/>
    <col min="7" max="7" width="17.1796875" customWidth="1"/>
    <col min="8" max="8" width="15.08984375" customWidth="1"/>
    <col min="9" max="9" width="17.36328125" customWidth="1"/>
    <col min="10" max="10" width="16.1796875" customWidth="1"/>
    <col min="11" max="11" width="21.6328125" customWidth="1"/>
  </cols>
  <sheetData>
    <row r="1" spans="1:16" ht="25" x14ac:dyDescent="0.35">
      <c r="A1" s="45" t="s">
        <v>53</v>
      </c>
      <c r="B1" s="45"/>
      <c r="C1" s="45"/>
      <c r="D1" s="45"/>
      <c r="E1" s="45"/>
      <c r="F1" s="45"/>
      <c r="G1" s="45"/>
      <c r="I1" s="46" t="s">
        <v>57</v>
      </c>
      <c r="J1" s="47"/>
      <c r="K1" s="47"/>
    </row>
    <row r="2" spans="1:16" ht="28" x14ac:dyDescent="0.35">
      <c r="A2" s="15" t="s">
        <v>0</v>
      </c>
      <c r="B2" s="5" t="s">
        <v>54</v>
      </c>
      <c r="C2" s="13" t="s">
        <v>1</v>
      </c>
      <c r="D2" s="15" t="s">
        <v>2</v>
      </c>
      <c r="E2" s="27" t="s">
        <v>56</v>
      </c>
      <c r="F2" s="27" t="s">
        <v>55</v>
      </c>
      <c r="G2" s="17" t="s">
        <v>83</v>
      </c>
      <c r="I2" s="3" t="s">
        <v>50</v>
      </c>
      <c r="J2" s="22">
        <v>50</v>
      </c>
      <c r="K2" s="4" t="s">
        <v>58</v>
      </c>
      <c r="P2" s="9"/>
    </row>
    <row r="3" spans="1:16" x14ac:dyDescent="0.35">
      <c r="A3" s="16" t="s">
        <v>3</v>
      </c>
      <c r="B3" s="7" t="s">
        <v>13</v>
      </c>
      <c r="C3" s="14" t="s">
        <v>16</v>
      </c>
      <c r="D3" s="16">
        <v>1</v>
      </c>
      <c r="E3" s="28">
        <v>300</v>
      </c>
      <c r="F3" s="28">
        <v>250</v>
      </c>
      <c r="G3" s="18">
        <v>260</v>
      </c>
      <c r="I3" s="3" t="s">
        <v>51</v>
      </c>
      <c r="J3" s="22">
        <v>30</v>
      </c>
      <c r="K3" s="4" t="s">
        <v>58</v>
      </c>
      <c r="P3" s="8"/>
    </row>
    <row r="4" spans="1:16" x14ac:dyDescent="0.35">
      <c r="A4" s="16" t="s">
        <v>4</v>
      </c>
      <c r="B4" s="7" t="s">
        <v>13</v>
      </c>
      <c r="C4" s="14" t="s">
        <v>17</v>
      </c>
      <c r="D4" s="16">
        <v>1</v>
      </c>
      <c r="E4" s="28">
        <v>300</v>
      </c>
      <c r="F4" s="28">
        <v>250</v>
      </c>
      <c r="G4" s="18">
        <v>260</v>
      </c>
      <c r="I4" s="3" t="s">
        <v>52</v>
      </c>
      <c r="J4" s="22">
        <v>250</v>
      </c>
      <c r="K4" s="3" t="s">
        <v>59</v>
      </c>
      <c r="P4" s="8"/>
    </row>
    <row r="5" spans="1:16" x14ac:dyDescent="0.35">
      <c r="A5" s="16" t="s">
        <v>5</v>
      </c>
      <c r="B5" s="7" t="s">
        <v>13</v>
      </c>
      <c r="C5" s="14" t="s">
        <v>18</v>
      </c>
      <c r="D5" s="16">
        <v>2</v>
      </c>
      <c r="E5" s="28">
        <v>450</v>
      </c>
      <c r="F5" s="28">
        <v>350</v>
      </c>
      <c r="G5" s="18">
        <v>370</v>
      </c>
      <c r="I5" s="3" t="s">
        <v>60</v>
      </c>
      <c r="J5" s="22">
        <v>100</v>
      </c>
      <c r="K5" s="3" t="s">
        <v>61</v>
      </c>
      <c r="O5" s="44"/>
      <c r="P5" s="8"/>
    </row>
    <row r="6" spans="1:16" x14ac:dyDescent="0.35">
      <c r="A6" s="16" t="s">
        <v>6</v>
      </c>
      <c r="B6" s="7" t="s">
        <v>13</v>
      </c>
      <c r="C6" s="14" t="s">
        <v>39</v>
      </c>
      <c r="D6" s="16">
        <v>2</v>
      </c>
      <c r="E6" s="28">
        <v>450</v>
      </c>
      <c r="F6" s="28">
        <v>350</v>
      </c>
      <c r="G6" s="18">
        <v>400</v>
      </c>
      <c r="I6" s="8"/>
      <c r="J6" s="8"/>
      <c r="P6" s="8"/>
    </row>
    <row r="7" spans="1:16" x14ac:dyDescent="0.35">
      <c r="A7" s="16" t="s">
        <v>7</v>
      </c>
      <c r="B7" s="7" t="s">
        <v>14</v>
      </c>
      <c r="C7" s="14" t="s">
        <v>40</v>
      </c>
      <c r="D7" s="16">
        <v>2</v>
      </c>
      <c r="E7" s="28">
        <v>550</v>
      </c>
      <c r="F7" s="28">
        <v>450</v>
      </c>
      <c r="G7" s="18">
        <v>450</v>
      </c>
      <c r="I7" s="8"/>
      <c r="J7" s="8"/>
      <c r="P7" s="8"/>
    </row>
    <row r="8" spans="1:16" ht="25" x14ac:dyDescent="0.35">
      <c r="A8" s="16" t="s">
        <v>8</v>
      </c>
      <c r="B8" s="7" t="s">
        <v>14</v>
      </c>
      <c r="C8" s="14" t="s">
        <v>19</v>
      </c>
      <c r="D8" s="16">
        <v>2</v>
      </c>
      <c r="E8" s="28">
        <v>550</v>
      </c>
      <c r="F8" s="28">
        <v>450</v>
      </c>
      <c r="G8" s="18">
        <v>450</v>
      </c>
      <c r="I8" s="48" t="s">
        <v>99</v>
      </c>
      <c r="J8" s="49"/>
      <c r="K8" s="49"/>
      <c r="L8" s="49"/>
      <c r="M8" s="49"/>
      <c r="P8" s="8"/>
    </row>
    <row r="9" spans="1:16" x14ac:dyDescent="0.35">
      <c r="A9" s="16" t="s">
        <v>9</v>
      </c>
      <c r="B9" s="7" t="s">
        <v>14</v>
      </c>
      <c r="C9" s="14" t="s">
        <v>20</v>
      </c>
      <c r="D9" s="16">
        <v>3</v>
      </c>
      <c r="E9" s="28">
        <v>700</v>
      </c>
      <c r="F9" s="28">
        <v>600</v>
      </c>
      <c r="G9" s="18">
        <v>600</v>
      </c>
      <c r="I9" s="23" t="s">
        <v>100</v>
      </c>
      <c r="J9" s="19" t="s">
        <v>105</v>
      </c>
      <c r="K9" s="21" t="s">
        <v>110</v>
      </c>
      <c r="L9" s="10" t="s">
        <v>115</v>
      </c>
      <c r="M9" s="25" t="s">
        <v>116</v>
      </c>
      <c r="P9" s="8"/>
    </row>
    <row r="10" spans="1:16" ht="28" x14ac:dyDescent="0.35">
      <c r="A10" s="16" t="s">
        <v>10</v>
      </c>
      <c r="B10" s="7" t="s">
        <v>14</v>
      </c>
      <c r="C10" s="14" t="s">
        <v>21</v>
      </c>
      <c r="D10" s="16">
        <v>3</v>
      </c>
      <c r="E10" s="28">
        <v>700</v>
      </c>
      <c r="F10" s="28">
        <v>600</v>
      </c>
      <c r="G10" s="18">
        <v>650</v>
      </c>
      <c r="I10" s="24" t="s">
        <v>101</v>
      </c>
      <c r="J10" s="20" t="s">
        <v>106</v>
      </c>
      <c r="K10" s="22" t="s">
        <v>111</v>
      </c>
      <c r="L10" s="6">
        <v>2199</v>
      </c>
      <c r="M10" s="26" t="s">
        <v>117</v>
      </c>
      <c r="P10" s="8"/>
    </row>
    <row r="11" spans="1:16" ht="28" x14ac:dyDescent="0.35">
      <c r="A11" s="16" t="s">
        <v>11</v>
      </c>
      <c r="B11" s="7" t="s">
        <v>15</v>
      </c>
      <c r="C11" s="14" t="s">
        <v>22</v>
      </c>
      <c r="D11" s="16">
        <v>2</v>
      </c>
      <c r="E11" s="28">
        <v>850</v>
      </c>
      <c r="F11" s="28">
        <v>750</v>
      </c>
      <c r="G11" s="18">
        <v>690</v>
      </c>
      <c r="I11" s="24" t="s">
        <v>102</v>
      </c>
      <c r="J11" s="20" t="s">
        <v>107</v>
      </c>
      <c r="K11" s="22" t="s">
        <v>112</v>
      </c>
      <c r="L11" s="6">
        <v>2499</v>
      </c>
      <c r="M11" s="26" t="s">
        <v>118</v>
      </c>
      <c r="P11" s="8"/>
    </row>
    <row r="12" spans="1:16" ht="28" x14ac:dyDescent="0.35">
      <c r="A12" s="16" t="s">
        <v>12</v>
      </c>
      <c r="B12" s="7" t="s">
        <v>15</v>
      </c>
      <c r="C12" s="14" t="s">
        <v>46</v>
      </c>
      <c r="D12" s="16">
        <v>4</v>
      </c>
      <c r="E12" s="28">
        <v>1200</v>
      </c>
      <c r="F12" s="28">
        <v>1100</v>
      </c>
      <c r="G12" s="18">
        <v>800</v>
      </c>
      <c r="I12" s="24" t="s">
        <v>103</v>
      </c>
      <c r="J12" s="20" t="s">
        <v>108</v>
      </c>
      <c r="K12" s="22" t="s">
        <v>113</v>
      </c>
      <c r="L12" s="6">
        <v>1299</v>
      </c>
      <c r="M12" s="26" t="s">
        <v>119</v>
      </c>
      <c r="P12" s="8"/>
    </row>
    <row r="13" spans="1:16" ht="28" x14ac:dyDescent="0.35">
      <c r="A13" s="16" t="s">
        <v>23</v>
      </c>
      <c r="B13" s="7" t="s">
        <v>15</v>
      </c>
      <c r="C13" s="14" t="s">
        <v>24</v>
      </c>
      <c r="D13" s="16">
        <v>6</v>
      </c>
      <c r="E13" s="28">
        <v>1800</v>
      </c>
      <c r="F13" s="28">
        <v>1700</v>
      </c>
      <c r="G13" s="18">
        <v>1150</v>
      </c>
      <c r="I13" s="24" t="s">
        <v>104</v>
      </c>
      <c r="J13" s="20" t="s">
        <v>109</v>
      </c>
      <c r="K13" s="22" t="s">
        <v>114</v>
      </c>
      <c r="L13" s="6">
        <v>999</v>
      </c>
      <c r="M13" s="26" t="s">
        <v>120</v>
      </c>
      <c r="P13" s="8"/>
    </row>
    <row r="14" spans="1:16" x14ac:dyDescent="0.35">
      <c r="A14" s="16" t="s">
        <v>62</v>
      </c>
      <c r="B14" s="7" t="s">
        <v>15</v>
      </c>
      <c r="C14" s="14" t="s">
        <v>71</v>
      </c>
      <c r="D14" s="16">
        <v>4</v>
      </c>
      <c r="E14" s="28">
        <v>1200</v>
      </c>
      <c r="F14" s="28">
        <v>1100</v>
      </c>
      <c r="G14" s="18">
        <v>1090</v>
      </c>
      <c r="I14" s="8"/>
      <c r="J14" s="8"/>
      <c r="P14" s="8"/>
    </row>
    <row r="15" spans="1:16" x14ac:dyDescent="0.35">
      <c r="A15" s="16" t="s">
        <v>63</v>
      </c>
      <c r="B15" s="7" t="s">
        <v>13</v>
      </c>
      <c r="C15" s="14" t="s">
        <v>72</v>
      </c>
      <c r="D15" s="16">
        <v>1</v>
      </c>
      <c r="E15" s="28">
        <v>300</v>
      </c>
      <c r="F15" s="28">
        <v>250</v>
      </c>
      <c r="G15" s="18">
        <v>120</v>
      </c>
      <c r="I15" s="8"/>
      <c r="J15" s="8"/>
      <c r="P15" s="8"/>
    </row>
    <row r="16" spans="1:16" x14ac:dyDescent="0.35">
      <c r="A16" s="16" t="s">
        <v>64</v>
      </c>
      <c r="B16" s="7" t="s">
        <v>13</v>
      </c>
      <c r="C16" s="14" t="s">
        <v>73</v>
      </c>
      <c r="D16" s="16">
        <v>2</v>
      </c>
      <c r="E16" s="28">
        <v>450</v>
      </c>
      <c r="F16" s="28">
        <v>350</v>
      </c>
      <c r="G16" s="18">
        <v>200</v>
      </c>
      <c r="I16" s="8"/>
      <c r="J16" s="8"/>
      <c r="P16" s="8"/>
    </row>
    <row r="17" spans="1:16" x14ac:dyDescent="0.35">
      <c r="A17" s="16" t="s">
        <v>65</v>
      </c>
      <c r="B17" s="7" t="s">
        <v>13</v>
      </c>
      <c r="C17" s="14" t="s">
        <v>74</v>
      </c>
      <c r="D17" s="16">
        <v>2</v>
      </c>
      <c r="E17" s="28">
        <v>450</v>
      </c>
      <c r="F17" s="28">
        <v>350</v>
      </c>
      <c r="G17" s="18">
        <v>200</v>
      </c>
      <c r="I17" s="8"/>
      <c r="J17" s="8"/>
      <c r="P17" s="8"/>
    </row>
    <row r="18" spans="1:16" x14ac:dyDescent="0.35">
      <c r="A18" s="16" t="s">
        <v>66</v>
      </c>
      <c r="B18" s="7" t="s">
        <v>13</v>
      </c>
      <c r="C18" s="14" t="s">
        <v>75</v>
      </c>
      <c r="D18" s="16">
        <v>2</v>
      </c>
      <c r="E18" s="28">
        <v>450</v>
      </c>
      <c r="F18" s="28">
        <v>350</v>
      </c>
      <c r="G18" s="18">
        <v>200</v>
      </c>
      <c r="I18" s="8"/>
      <c r="J18" s="8"/>
      <c r="P18" s="8"/>
    </row>
    <row r="19" spans="1:16" x14ac:dyDescent="0.35">
      <c r="A19" s="16" t="s">
        <v>67</v>
      </c>
      <c r="B19" s="7" t="s">
        <v>14</v>
      </c>
      <c r="C19" s="14" t="s">
        <v>76</v>
      </c>
      <c r="D19" s="16">
        <v>3</v>
      </c>
      <c r="E19" s="28">
        <v>700</v>
      </c>
      <c r="F19" s="28">
        <v>600</v>
      </c>
      <c r="G19" s="18">
        <v>450</v>
      </c>
      <c r="I19" s="8"/>
      <c r="J19" s="8"/>
      <c r="P19" s="8"/>
    </row>
    <row r="20" spans="1:16" x14ac:dyDescent="0.35">
      <c r="A20" s="16" t="s">
        <v>68</v>
      </c>
      <c r="B20" s="7" t="s">
        <v>14</v>
      </c>
      <c r="C20" s="14" t="s">
        <v>77</v>
      </c>
      <c r="D20" s="16">
        <v>3</v>
      </c>
      <c r="E20" s="28">
        <v>700</v>
      </c>
      <c r="F20" s="28">
        <v>600</v>
      </c>
      <c r="G20" s="18">
        <v>400</v>
      </c>
      <c r="I20" s="8"/>
      <c r="J20" s="8"/>
      <c r="P20" s="8"/>
    </row>
    <row r="21" spans="1:16" x14ac:dyDescent="0.35">
      <c r="A21" s="16" t="s">
        <v>69</v>
      </c>
      <c r="B21" s="7" t="s">
        <v>14</v>
      </c>
      <c r="C21" s="14" t="s">
        <v>78</v>
      </c>
      <c r="D21" s="16">
        <v>3</v>
      </c>
      <c r="E21" s="28">
        <v>700</v>
      </c>
      <c r="F21" s="28">
        <v>600</v>
      </c>
      <c r="G21" s="18">
        <v>400</v>
      </c>
      <c r="I21" s="8"/>
      <c r="J21" s="8"/>
      <c r="P21" s="8"/>
    </row>
    <row r="22" spans="1:16" x14ac:dyDescent="0.35">
      <c r="A22" s="16" t="s">
        <v>70</v>
      </c>
      <c r="B22" s="7" t="s">
        <v>15</v>
      </c>
      <c r="C22" s="14" t="s">
        <v>79</v>
      </c>
      <c r="D22" s="16">
        <v>6</v>
      </c>
      <c r="E22" s="28">
        <v>1800</v>
      </c>
      <c r="F22" s="28">
        <v>1700</v>
      </c>
      <c r="G22" s="18">
        <v>1400</v>
      </c>
      <c r="P22" s="8"/>
    </row>
    <row r="23" spans="1:16" x14ac:dyDescent="0.35">
      <c r="P23" s="9"/>
    </row>
  </sheetData>
  <mergeCells count="3">
    <mergeCell ref="I1:K1"/>
    <mergeCell ref="A1:G1"/>
    <mergeCell ref="I8:M8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AB81-6830-41AB-ABB4-A7CE7A8A43E0}">
  <dimension ref="A1:Q16"/>
  <sheetViews>
    <sheetView zoomScale="79" workbookViewId="0">
      <selection activeCell="R11" sqref="R11"/>
    </sheetView>
  </sheetViews>
  <sheetFormatPr defaultRowHeight="14.5" x14ac:dyDescent="0.35"/>
  <cols>
    <col min="1" max="1" width="13.08984375" customWidth="1"/>
    <col min="3" max="3" width="15.453125" customWidth="1"/>
    <col min="4" max="4" width="7.81640625" customWidth="1"/>
    <col min="5" max="5" width="8.81640625" customWidth="1"/>
    <col min="6" max="6" width="13.6328125" customWidth="1"/>
    <col min="8" max="8" width="11.1796875" customWidth="1"/>
    <col min="9" max="9" width="11.6328125" customWidth="1"/>
    <col min="10" max="10" width="13.7265625" customWidth="1"/>
    <col min="11" max="11" width="14.90625" customWidth="1"/>
    <col min="12" max="12" width="12.81640625" customWidth="1"/>
    <col min="13" max="13" width="11.453125" customWidth="1"/>
    <col min="14" max="14" width="11.08984375" customWidth="1"/>
    <col min="15" max="15" width="10.7265625" customWidth="1"/>
    <col min="16" max="16" width="10.26953125" customWidth="1"/>
  </cols>
  <sheetData>
    <row r="1" spans="1:17" ht="28" x14ac:dyDescent="0.35">
      <c r="A1" s="29" t="s">
        <v>35</v>
      </c>
      <c r="B1" s="29" t="s">
        <v>36</v>
      </c>
      <c r="C1" s="29" t="s">
        <v>1</v>
      </c>
      <c r="D1" s="29" t="s">
        <v>41</v>
      </c>
      <c r="E1" s="29" t="s">
        <v>42</v>
      </c>
      <c r="F1" s="29" t="s">
        <v>43</v>
      </c>
      <c r="G1" s="29" t="s">
        <v>44</v>
      </c>
      <c r="H1" s="29" t="s">
        <v>45</v>
      </c>
      <c r="I1" s="29" t="s">
        <v>52</v>
      </c>
      <c r="J1" s="29" t="s">
        <v>50</v>
      </c>
      <c r="K1" s="29" t="s">
        <v>85</v>
      </c>
      <c r="L1" s="29" t="s">
        <v>86</v>
      </c>
      <c r="M1" s="29" t="s">
        <v>87</v>
      </c>
      <c r="N1" s="29" t="s">
        <v>84</v>
      </c>
      <c r="O1" s="29" t="s">
        <v>88</v>
      </c>
      <c r="P1" s="31" t="s">
        <v>89</v>
      </c>
      <c r="Q1" s="44"/>
    </row>
    <row r="2" spans="1:17" x14ac:dyDescent="0.35">
      <c r="A2" s="16" t="s">
        <v>25</v>
      </c>
      <c r="B2" s="16" t="s">
        <v>37</v>
      </c>
      <c r="C2" s="16" t="s">
        <v>24</v>
      </c>
      <c r="D2" s="16">
        <v>4</v>
      </c>
      <c r="E2" s="3">
        <v>2</v>
      </c>
      <c r="F2" s="3">
        <f>SUM(D2,E2)</f>
        <v>6</v>
      </c>
      <c r="G2" s="3">
        <v>3</v>
      </c>
      <c r="H2" s="30">
        <f>(IF(B2="Summer",
   VLOOKUP(TRIM(C2), Resort_Rates!$C$3:$P$13, 3, FALSE),
   VLOOKUP(TRIM(C2), Resort_Rates!$C$3:$P$13, 4, FALSE)
 )
)*F2</f>
        <v>10800</v>
      </c>
      <c r="I2" s="30">
        <v>250</v>
      </c>
      <c r="J2" s="30">
        <v>50</v>
      </c>
      <c r="K2" s="30">
        <v>100</v>
      </c>
      <c r="L2" s="30">
        <v>30</v>
      </c>
      <c r="M2" s="30">
        <f>(H2*G2)+SUM(I2:L2)</f>
        <v>32830</v>
      </c>
      <c r="N2" s="30">
        <f>((VLOOKUP(C2,Resort_Rates!$C$3:$G$24,5,FALSE)*G2)*F2)+SUM(I2:L2)</f>
        <v>21130</v>
      </c>
      <c r="O2" s="3">
        <f>M2-N2</f>
        <v>11700</v>
      </c>
      <c r="P2" s="32" t="str">
        <f>IF(O2&lt;0,"Loss","Profit")</f>
        <v>Profit</v>
      </c>
    </row>
    <row r="3" spans="1:17" x14ac:dyDescent="0.35">
      <c r="A3" s="16" t="s">
        <v>26</v>
      </c>
      <c r="B3" s="16" t="s">
        <v>37</v>
      </c>
      <c r="C3" s="16" t="s">
        <v>17</v>
      </c>
      <c r="D3" s="16">
        <v>1</v>
      </c>
      <c r="E3" s="3">
        <v>0</v>
      </c>
      <c r="F3" s="3">
        <f t="shared" ref="F3:F11" si="0">SUM(D3,E3)</f>
        <v>1</v>
      </c>
      <c r="G3" s="3">
        <v>2</v>
      </c>
      <c r="H3" s="30">
        <f>(IF(B3="Summer",
   VLOOKUP(TRIM(C3), Resort_Rates!$C$3:$P$13, 3, FALSE),
   VLOOKUP(TRIM(C3), Resort_Rates!$C$3:$P$13, 4, FALSE)
 )
)*F3</f>
        <v>300</v>
      </c>
      <c r="I3" s="30">
        <v>0</v>
      </c>
      <c r="J3" s="30">
        <v>50</v>
      </c>
      <c r="K3" s="30">
        <v>0</v>
      </c>
      <c r="L3" s="30">
        <v>30</v>
      </c>
      <c r="M3" s="30">
        <f t="shared" ref="M3:M11" si="1">(H3*G3)+SUM(I3:L3)</f>
        <v>680</v>
      </c>
      <c r="N3" s="30">
        <f>((VLOOKUP(C3,Resort_Rates!$C$3:$G$24,5,FALSE)*G3)*F3)+SUM(I3:L3)</f>
        <v>600</v>
      </c>
      <c r="O3" s="3">
        <f t="shared" ref="O3:O11" si="2">M3-N3</f>
        <v>80</v>
      </c>
      <c r="P3" s="32" t="str">
        <f t="shared" ref="P3:P11" si="3">IF(O3&lt;0,"Loss","Profit")</f>
        <v>Profit</v>
      </c>
    </row>
    <row r="4" spans="1:17" x14ac:dyDescent="0.35">
      <c r="A4" s="16" t="s">
        <v>27</v>
      </c>
      <c r="B4" s="16" t="s">
        <v>38</v>
      </c>
      <c r="C4" s="16" t="s">
        <v>46</v>
      </c>
      <c r="D4" s="16">
        <v>2</v>
      </c>
      <c r="E4" s="3">
        <v>2</v>
      </c>
      <c r="F4" s="3">
        <f t="shared" si="0"/>
        <v>4</v>
      </c>
      <c r="G4" s="3">
        <v>5</v>
      </c>
      <c r="H4" s="30">
        <f>(IF(B4="Summer",
   VLOOKUP(TRIM(C4), Resort_Rates!$C$3:$P$13, 3, FALSE),
   VLOOKUP(TRIM(C4), Resort_Rates!$C$3:$P$13, 4, FALSE)
 )
)*F4</f>
        <v>4400</v>
      </c>
      <c r="I4" s="30">
        <v>250</v>
      </c>
      <c r="J4" s="30">
        <v>50</v>
      </c>
      <c r="K4" s="30">
        <v>0</v>
      </c>
      <c r="L4" s="30">
        <v>30</v>
      </c>
      <c r="M4" s="30">
        <f t="shared" si="1"/>
        <v>22330</v>
      </c>
      <c r="N4" s="30">
        <f>((VLOOKUP(C4,Resort_Rates!$C$3:$G$24,5,FALSE)*G4)*F4)+SUM(I4:L4)</f>
        <v>16330</v>
      </c>
      <c r="O4" s="3">
        <f t="shared" si="2"/>
        <v>6000</v>
      </c>
      <c r="P4" s="32" t="str">
        <f t="shared" si="3"/>
        <v>Profit</v>
      </c>
    </row>
    <row r="5" spans="1:17" x14ac:dyDescent="0.35">
      <c r="A5" s="16" t="s">
        <v>28</v>
      </c>
      <c r="B5" s="16" t="s">
        <v>38</v>
      </c>
      <c r="C5" s="16" t="s">
        <v>18</v>
      </c>
      <c r="D5" s="16">
        <v>2</v>
      </c>
      <c r="E5" s="3">
        <v>0</v>
      </c>
      <c r="F5" s="3">
        <f t="shared" si="0"/>
        <v>2</v>
      </c>
      <c r="G5" s="3">
        <v>4</v>
      </c>
      <c r="H5" s="30">
        <f>(IF(B5="Summer",
   VLOOKUP(TRIM(C5), Resort_Rates!$C$3:$P$13, 3, FALSE),
   VLOOKUP(TRIM(C5), Resort_Rates!$C$3:$P$13, 4, FALSE)
 )
)*F5</f>
        <v>700</v>
      </c>
      <c r="I5" s="30">
        <v>0</v>
      </c>
      <c r="J5" s="30">
        <v>50</v>
      </c>
      <c r="K5" s="30">
        <v>100</v>
      </c>
      <c r="L5" s="30">
        <v>30</v>
      </c>
      <c r="M5" s="30">
        <f t="shared" si="1"/>
        <v>2980</v>
      </c>
      <c r="N5" s="30">
        <f>((VLOOKUP(C5,Resort_Rates!$C$3:$G$24,5,FALSE)*G5)*F5)+SUM(I5:L5)</f>
        <v>3140</v>
      </c>
      <c r="O5" s="3">
        <f t="shared" si="2"/>
        <v>-160</v>
      </c>
      <c r="P5" s="33" t="str">
        <f t="shared" si="3"/>
        <v>Loss</v>
      </c>
    </row>
    <row r="6" spans="1:17" x14ac:dyDescent="0.35">
      <c r="A6" s="16" t="s">
        <v>29</v>
      </c>
      <c r="B6" s="16" t="s">
        <v>37</v>
      </c>
      <c r="C6" s="16" t="s">
        <v>20</v>
      </c>
      <c r="D6" s="16">
        <v>2</v>
      </c>
      <c r="E6" s="3">
        <v>1</v>
      </c>
      <c r="F6" s="3">
        <f t="shared" si="0"/>
        <v>3</v>
      </c>
      <c r="G6" s="3">
        <v>7</v>
      </c>
      <c r="H6" s="30">
        <f>(IF(B6="Summer",
   VLOOKUP(TRIM(C6), Resort_Rates!$C$3:$P$13, 3, FALSE),
   VLOOKUP(TRIM(C6), Resort_Rates!$C$3:$P$13, 4, FALSE)
 )
)*F6</f>
        <v>2100</v>
      </c>
      <c r="I6" s="30">
        <v>250</v>
      </c>
      <c r="J6" s="30">
        <v>50</v>
      </c>
      <c r="K6" s="30">
        <v>100</v>
      </c>
      <c r="L6" s="30">
        <v>30</v>
      </c>
      <c r="M6" s="30">
        <f t="shared" si="1"/>
        <v>15130</v>
      </c>
      <c r="N6" s="30">
        <f>((VLOOKUP(C6,Resort_Rates!$C$3:$G$24,5,FALSE)*G6)*F6)+SUM(I6:L6)</f>
        <v>13030</v>
      </c>
      <c r="O6" s="3">
        <f t="shared" si="2"/>
        <v>2100</v>
      </c>
      <c r="P6" s="32" t="str">
        <f t="shared" si="3"/>
        <v>Profit</v>
      </c>
    </row>
    <row r="7" spans="1:17" x14ac:dyDescent="0.35">
      <c r="A7" s="16" t="s">
        <v>30</v>
      </c>
      <c r="B7" s="16" t="s">
        <v>37</v>
      </c>
      <c r="C7" s="16" t="s">
        <v>19</v>
      </c>
      <c r="D7" s="16">
        <v>2</v>
      </c>
      <c r="E7" s="3">
        <v>0</v>
      </c>
      <c r="F7" s="3">
        <f t="shared" si="0"/>
        <v>2</v>
      </c>
      <c r="G7" s="3">
        <v>3</v>
      </c>
      <c r="H7" s="30">
        <f>(IF(B7="Summer",
   VLOOKUP(TRIM(C7), Resort_Rates!$C$3:$P$13, 3, FALSE),
   VLOOKUP(TRIM(C7), Resort_Rates!$C$3:$P$13, 4, FALSE)
 )
)*F7</f>
        <v>1100</v>
      </c>
      <c r="I7" s="30">
        <v>250</v>
      </c>
      <c r="J7" s="30">
        <v>50</v>
      </c>
      <c r="K7" s="30">
        <v>100</v>
      </c>
      <c r="L7" s="30">
        <v>30</v>
      </c>
      <c r="M7" s="30">
        <f t="shared" si="1"/>
        <v>3730</v>
      </c>
      <c r="N7" s="30">
        <f>((VLOOKUP(C7,Resort_Rates!$C$3:$G$24,5,FALSE)*G7)*F7)+SUM(I7:L7)</f>
        <v>3130</v>
      </c>
      <c r="O7" s="3">
        <f t="shared" si="2"/>
        <v>600</v>
      </c>
      <c r="P7" s="32" t="str">
        <f t="shared" si="3"/>
        <v>Profit</v>
      </c>
    </row>
    <row r="8" spans="1:17" x14ac:dyDescent="0.35">
      <c r="A8" s="16" t="s">
        <v>31</v>
      </c>
      <c r="B8" s="16" t="s">
        <v>38</v>
      </c>
      <c r="C8" s="16" t="s">
        <v>22</v>
      </c>
      <c r="D8" s="16">
        <v>2</v>
      </c>
      <c r="E8" s="3">
        <v>0</v>
      </c>
      <c r="F8" s="3">
        <f t="shared" si="0"/>
        <v>2</v>
      </c>
      <c r="G8" s="3">
        <v>2</v>
      </c>
      <c r="H8" s="30">
        <f>(IF(B8="Summer",
   VLOOKUP(TRIM(C8), Resort_Rates!$C$3:$P$13, 3, FALSE),
   VLOOKUP(TRIM(C8), Resort_Rates!$C$3:$P$13, 4, FALSE)
 )
)*F8</f>
        <v>1500</v>
      </c>
      <c r="I8" s="30">
        <v>250</v>
      </c>
      <c r="J8" s="30">
        <v>50</v>
      </c>
      <c r="K8" s="30">
        <v>0</v>
      </c>
      <c r="L8" s="30">
        <v>30</v>
      </c>
      <c r="M8" s="30">
        <f t="shared" si="1"/>
        <v>3330</v>
      </c>
      <c r="N8" s="30">
        <f>((VLOOKUP(C8,Resort_Rates!$C$3:$G$24,5,FALSE)*G8)*F8)+SUM(I8:L8)</f>
        <v>3090</v>
      </c>
      <c r="O8" s="3">
        <f t="shared" si="2"/>
        <v>240</v>
      </c>
      <c r="P8" s="32" t="str">
        <f t="shared" si="3"/>
        <v>Profit</v>
      </c>
    </row>
    <row r="9" spans="1:17" x14ac:dyDescent="0.35">
      <c r="A9" s="16" t="s">
        <v>32</v>
      </c>
      <c r="B9" s="16" t="s">
        <v>38</v>
      </c>
      <c r="C9" s="16" t="s">
        <v>39</v>
      </c>
      <c r="D9" s="16">
        <v>2</v>
      </c>
      <c r="E9" s="3">
        <v>0</v>
      </c>
      <c r="F9" s="3">
        <f t="shared" si="0"/>
        <v>2</v>
      </c>
      <c r="G9" s="3">
        <v>6</v>
      </c>
      <c r="H9" s="30">
        <f>(IF(B9="Summer",
   VLOOKUP(TRIM(C9), Resort_Rates!$C$3:$P$13, 3, FALSE),
   VLOOKUP(TRIM(C9), Resort_Rates!$C$3:$P$13, 4, FALSE)
 )
)*F9</f>
        <v>700</v>
      </c>
      <c r="I9" s="30">
        <v>0</v>
      </c>
      <c r="J9" s="30">
        <v>50</v>
      </c>
      <c r="K9" s="30">
        <v>0</v>
      </c>
      <c r="L9" s="30">
        <v>30</v>
      </c>
      <c r="M9" s="30">
        <f t="shared" si="1"/>
        <v>4280</v>
      </c>
      <c r="N9" s="30">
        <f>((VLOOKUP(C9,Resort_Rates!$C$3:$G$24,5,FALSE)*G9)*F9)+SUM(I9:L9)</f>
        <v>4880</v>
      </c>
      <c r="O9" s="3">
        <f t="shared" si="2"/>
        <v>-600</v>
      </c>
      <c r="P9" s="33" t="str">
        <f t="shared" si="3"/>
        <v>Loss</v>
      </c>
    </row>
    <row r="10" spans="1:17" x14ac:dyDescent="0.35">
      <c r="A10" s="16" t="s">
        <v>33</v>
      </c>
      <c r="B10" s="16" t="s">
        <v>37</v>
      </c>
      <c r="C10" s="16" t="s">
        <v>46</v>
      </c>
      <c r="D10" s="16">
        <v>2</v>
      </c>
      <c r="E10" s="3">
        <v>2</v>
      </c>
      <c r="F10" s="3">
        <f t="shared" si="0"/>
        <v>4</v>
      </c>
      <c r="G10" s="3">
        <v>4</v>
      </c>
      <c r="H10" s="30">
        <f>(IF(B10="Summer",
   VLOOKUP(TRIM(C10), Resort_Rates!$C$3:$P$13, 3, FALSE),
   VLOOKUP(TRIM(C10), Resort_Rates!$C$3:$P$13, 4, FALSE)
 )
)*F10</f>
        <v>4800</v>
      </c>
      <c r="I10" s="30">
        <v>0</v>
      </c>
      <c r="J10" s="30">
        <v>50</v>
      </c>
      <c r="K10" s="30">
        <v>0</v>
      </c>
      <c r="L10" s="30">
        <v>30</v>
      </c>
      <c r="M10" s="30">
        <f t="shared" si="1"/>
        <v>19280</v>
      </c>
      <c r="N10" s="30">
        <f>((VLOOKUP(C10,Resort_Rates!$C$3:$G$24,5,FALSE)*G10)*F10)+SUM(I10:L10)</f>
        <v>12880</v>
      </c>
      <c r="O10" s="3">
        <f t="shared" si="2"/>
        <v>6400</v>
      </c>
      <c r="P10" s="32" t="str">
        <f t="shared" si="3"/>
        <v>Profit</v>
      </c>
    </row>
    <row r="11" spans="1:17" x14ac:dyDescent="0.35">
      <c r="A11" s="16" t="s">
        <v>34</v>
      </c>
      <c r="B11" s="16" t="s">
        <v>38</v>
      </c>
      <c r="C11" s="16" t="s">
        <v>40</v>
      </c>
      <c r="D11" s="16">
        <v>2</v>
      </c>
      <c r="E11" s="3">
        <v>0</v>
      </c>
      <c r="F11" s="3">
        <f t="shared" si="0"/>
        <v>2</v>
      </c>
      <c r="G11" s="3">
        <v>3</v>
      </c>
      <c r="H11" s="30">
        <f>(IF(B11="Summer",
   VLOOKUP(TRIM(C11), Resort_Rates!$C$3:$P$13, 3, FALSE),
   VLOOKUP(TRIM(C11), Resort_Rates!$C$3:$P$13, 4, FALSE)
 )
)*F11</f>
        <v>900</v>
      </c>
      <c r="I11" s="30">
        <v>250</v>
      </c>
      <c r="J11" s="30">
        <v>50</v>
      </c>
      <c r="K11" s="30">
        <v>0</v>
      </c>
      <c r="L11" s="30">
        <v>30</v>
      </c>
      <c r="M11" s="30">
        <f t="shared" si="1"/>
        <v>3030</v>
      </c>
      <c r="N11" s="30">
        <f>((VLOOKUP(C11,Resort_Rates!$C$3:$G$24,5,FALSE)*G11)*F11)+SUM(I11:L11)</f>
        <v>3030</v>
      </c>
      <c r="O11" s="3">
        <f t="shared" si="2"/>
        <v>0</v>
      </c>
      <c r="P11" s="32" t="str">
        <f t="shared" si="3"/>
        <v>Profit</v>
      </c>
    </row>
    <row r="12" spans="1:17" x14ac:dyDescent="0.35">
      <c r="H12" s="11"/>
    </row>
    <row r="16" spans="1:17" x14ac:dyDescent="0.35">
      <c r="L16" s="44"/>
    </row>
  </sheetData>
  <conditionalFormatting sqref="O2:O11">
    <cfRule type="cellIs" dxfId="1" priority="1" operator="less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F11ADE3-E3E2-48D5-88B9-C353F570C4F9}">
          <x14:formula1>
            <xm:f>Resort_Rates!$C$3:$C$22</xm:f>
          </x14:formula1>
          <xm:sqref>C1:C11</xm:sqref>
        </x14:dataValidation>
        <x14:dataValidation type="whole" operator="equal" allowBlank="1" showInputMessage="1" showErrorMessage="1" xr:uid="{D7E08C11-ABED-4D1F-84B9-1A96E6B82AF2}">
          <x14:formula1>
            <xm:f>Resort_Rates!M6</xm:f>
          </x14:formula1>
          <xm:sqref>J6:J11</xm:sqref>
        </x14:dataValidation>
        <x14:dataValidation type="whole" operator="equal" allowBlank="1" showInputMessage="1" showErrorMessage="1" xr:uid="{DE3FA26A-3919-41C0-982C-F520BD7F14CB}">
          <x14:formula1>
            <xm:f>Resort_Rates!J3</xm:f>
          </x14:formula1>
          <xm:sqref>J3:J5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9450-B389-471C-A8DE-05915B2CA87A}">
  <dimension ref="A1:E29"/>
  <sheetViews>
    <sheetView tabSelected="1" topLeftCell="A15" zoomScale="96" workbookViewId="0">
      <selection activeCell="B3" sqref="B3"/>
    </sheetView>
  </sheetViews>
  <sheetFormatPr defaultRowHeight="14.5" x14ac:dyDescent="0.35"/>
  <cols>
    <col min="1" max="1" width="25.36328125" customWidth="1"/>
    <col min="2" max="2" width="27.26953125" customWidth="1"/>
    <col min="3" max="3" width="22.90625" customWidth="1"/>
    <col min="4" max="4" width="32.08984375" customWidth="1"/>
    <col min="5" max="5" width="23.6328125" customWidth="1"/>
    <col min="6" max="6" width="20.7265625" customWidth="1"/>
  </cols>
  <sheetData>
    <row r="1" spans="1:5" ht="25" x14ac:dyDescent="0.5">
      <c r="A1" s="38" t="s">
        <v>90</v>
      </c>
      <c r="B1" s="39"/>
      <c r="D1" s="38" t="s">
        <v>91</v>
      </c>
      <c r="E1" s="40"/>
    </row>
    <row r="2" spans="1:5" x14ac:dyDescent="0.35">
      <c r="A2" s="50" t="s">
        <v>80</v>
      </c>
      <c r="B2" s="2">
        <f>COUNTA(Booking_Data!A2:A11)</f>
        <v>10</v>
      </c>
      <c r="D2" s="34" t="s">
        <v>96</v>
      </c>
      <c r="E2" s="3">
        <f>SUMIF(Booking_Data!B:B,"Summer",Booking_Data!M:M)</f>
        <v>71650</v>
      </c>
    </row>
    <row r="3" spans="1:5" x14ac:dyDescent="0.35">
      <c r="A3" s="30" t="s">
        <v>81</v>
      </c>
      <c r="B3" s="3">
        <f>SUM(Booking_Data!D:D)</f>
        <v>21</v>
      </c>
      <c r="D3" s="30" t="s">
        <v>97</v>
      </c>
      <c r="E3" s="3">
        <f>SUMIF(Booking_Data!B:B,"Winter",Booking_Data!M:M)</f>
        <v>35950</v>
      </c>
    </row>
    <row r="4" spans="1:5" x14ac:dyDescent="0.35">
      <c r="A4" s="51" t="s">
        <v>82</v>
      </c>
      <c r="B4" s="3">
        <f>SUM(Booking_Data!E:E)</f>
        <v>7</v>
      </c>
      <c r="D4" s="37" t="s">
        <v>95</v>
      </c>
      <c r="E4" s="3">
        <f>SUM(E2,E3)</f>
        <v>107600</v>
      </c>
    </row>
    <row r="5" spans="1:5" x14ac:dyDescent="0.35">
      <c r="A5" s="37" t="s">
        <v>48</v>
      </c>
      <c r="B5" s="3">
        <f>SUM(B3,B4)</f>
        <v>28</v>
      </c>
      <c r="D5" s="36" t="s">
        <v>92</v>
      </c>
      <c r="E5" s="3">
        <f>SUM(Booking_Data!N:N)</f>
        <v>81240</v>
      </c>
    </row>
    <row r="6" spans="1:5" x14ac:dyDescent="0.35">
      <c r="A6" s="52" t="s">
        <v>47</v>
      </c>
      <c r="B6" s="3">
        <f>AVERAGE(Booking_Data!G:G)</f>
        <v>3.9</v>
      </c>
      <c r="D6" s="35" t="s">
        <v>93</v>
      </c>
      <c r="E6" s="3">
        <f>E4-E5</f>
        <v>26360</v>
      </c>
    </row>
    <row r="7" spans="1:5" x14ac:dyDescent="0.35">
      <c r="A7" s="16" t="s">
        <v>49</v>
      </c>
      <c r="B7" s="3" t="str">
        <f>INDEX(Booking_Data!C2:C11, MATCH(MAX(Booking_Data!M2:M11), Booking_Data!M2:M11, 0))</f>
        <v>Grand Villa</v>
      </c>
      <c r="D7" s="12" t="s">
        <v>94</v>
      </c>
      <c r="E7" s="3" t="str">
        <f>IF(E6&gt;0,"Profit","Loss")</f>
        <v>Profit</v>
      </c>
    </row>
    <row r="9" spans="1:5" ht="25" x14ac:dyDescent="0.5">
      <c r="B9" s="41" t="s">
        <v>98</v>
      </c>
      <c r="C9" s="42"/>
      <c r="D9" s="43"/>
    </row>
    <row r="28" spans="2:4" x14ac:dyDescent="0.35">
      <c r="B28" s="1"/>
      <c r="C28" s="1"/>
      <c r="D28" s="1"/>
    </row>
    <row r="29" spans="2:4" x14ac:dyDescent="0.35">
      <c r="B29" s="1"/>
      <c r="C29" s="1"/>
      <c r="D29" s="1"/>
    </row>
  </sheetData>
  <mergeCells count="3">
    <mergeCell ref="A1:B1"/>
    <mergeCell ref="D1:E1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Resort_Rates</vt:lpstr>
      <vt:lpstr>Booking_Data</vt:lpstr>
      <vt:lpstr>Analytic_Report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Mirza</dc:creator>
  <cp:lastModifiedBy>Areeba Mirza</cp:lastModifiedBy>
  <dcterms:created xsi:type="dcterms:W3CDTF">2025-12-31T14:08:04Z</dcterms:created>
  <dcterms:modified xsi:type="dcterms:W3CDTF">2026-01-03T20:52:36Z</dcterms:modified>
</cp:coreProperties>
</file>